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Component Requirements &amp; Costs"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<sst xmlns="http://schemas.openxmlformats.org/spreadsheetml/2006/main" count="94" uniqueCount="92">
  <si>
    <t xml:space="preserve">VESSEL — Packaging Assumptions (editable inputs)</t>
  </si>
  <si>
    <t xml:space="preserve">Blue = editable input. Everything else on this sheet and workbook is a formula. Unknown costs (printing, VAT, delivery) are left BLANK deliberately — a blank is not a confirmed zero. Change any blue cell and every other sheet recalculates.</t>
  </si>
  <si>
    <t xml:space="preserve">Assumption</t>
  </si>
  <si>
    <t xml:space="preserve">Value</t>
  </si>
  <si>
    <t xml:space="preserve">Notes</t>
  </si>
  <si>
    <t xml:space="preserve">Total Units to Sell</t>
  </si>
  <si>
    <t xml:space="preserve">CONFIRMED — 8 SKUs x 15 units = 120.</t>
  </si>
  <si>
    <t xml:space="preserve">Bundle-Order %</t>
  </si>
  <si>
    <t xml:space="preserve">MODEL ASSUMPTION — reproduces the financial model's existing 1.15 items/order and ~104-order figures (120 / 1.15 ~ 104.35). True bundle take rate is unknown; edit freely.</t>
  </si>
  <si>
    <t xml:space="preserve">Average Items per Order (= 1 + Bundle-Order %)</t>
  </si>
  <si>
    <t xml:space="preserve">Derived. Normal order = 1 item, bundle order = 2 items.</t>
  </si>
  <si>
    <t xml:space="preserve">Expected Orders (calculated)</t>
  </si>
  <si>
    <t xml:space="preserve">Formula: Total Units / Average Items per Order.</t>
  </si>
  <si>
    <t xml:space="preserve">Manual Order Count Override (optional)</t>
  </si>
  <si>
    <t xml:space="preserve">Leave BLANK to use the calculated figure above. If you override, check the Consistency Check row below.</t>
  </si>
  <si>
    <t xml:space="preserve">Orders Used</t>
  </si>
  <si>
    <t xml:space="preserve">Formula: Override if given, else the calculated figure.</t>
  </si>
  <si>
    <t xml:space="preserve">Consistency Check</t>
  </si>
  <si>
    <t xml:space="preserve">Only flags a problem when the manual override is used and is inconsistent with Total Units.</t>
  </si>
  <si>
    <t xml:space="preserve">Spare / Waste Buffer %</t>
  </si>
  <si>
    <t xml:space="preserve">Editable buffer applied on top of calculated requirements (damage, re-packing, samples). Adjust based on real experience.</t>
  </si>
  <si>
    <t xml:space="preserve">USD -&gt; ILS Rate</t>
  </si>
  <si>
    <t xml:space="preserve">Sourced from the financial model: ~₪7,000 total supplier payment / US$1,960.10 invoice ~ ₪3.571/US$. Reused here for consistency, not a new rate.</t>
  </si>
  <si>
    <t xml:space="preserve">Pouch Unit Cost (US$)</t>
  </si>
  <si>
    <t xml:space="preserve">CONFIRMED — supplier invoice, 10 Aug 2026 (500 pouches @ US$0.28 = US$140).</t>
  </si>
  <si>
    <t xml:space="preserve">Cloth Unit Cost (US$)</t>
  </si>
  <si>
    <t xml:space="preserve">CONFIRMED — supplier invoice, 10 Aug 2026 (500 cloths @ US$0.20 = US$100).</t>
  </si>
  <si>
    <t xml:space="preserve">VAT Included in Component Quotes?</t>
  </si>
  <si>
    <t xml:space="preserve">Unknown</t>
  </si>
  <si>
    <t xml:space="preserve">OPEN ITEM — must be confirmed with each vendor. Do not assume Yes or No.</t>
  </si>
  <si>
    <t xml:space="preserve">VAT % (used only if quotes exclude VAT)</t>
  </si>
  <si>
    <t xml:space="preserve">Editable. Standard Israeli VAT rate, for scenario testing.</t>
  </si>
  <si>
    <t xml:space="preserve">Vendor Delivery Cost (₪, flat)</t>
  </si>
  <si>
    <t xml:space="preserve">UNKNOWN — leave BLANK until quoted. A blank here means unresolved, not ₪0.</t>
  </si>
  <si>
    <t xml:space="preserve">Box Printing Cost per Unit (₪)</t>
  </si>
  <si>
    <t xml:space="preserve">Derived (used by the Component Requirements sheet)</t>
  </si>
  <si>
    <t xml:space="preserve">Bundle Orders (count)</t>
  </si>
  <si>
    <t xml:space="preserve">Normal Orders (count)</t>
  </si>
  <si>
    <t xml:space="preserve">Total Pouches Required (before waste)</t>
  </si>
  <si>
    <t xml:space="preserve">Total Per-Order Components Required (before waste) — cloths/cards/stickers/boxes</t>
  </si>
  <si>
    <t xml:space="preserve">Confirmed supplier-payment facts (whole invoice — no line-item allocation)</t>
  </si>
  <si>
    <t xml:space="preserve">Total Supplier Invoice Value (US$)</t>
  </si>
  <si>
    <t xml:space="preserve">CONFIRMED — full supplier order invoice total, 10 Aug 2026.</t>
  </si>
  <si>
    <t xml:space="preserve">Total Supplier Deposit Already Paid (₪, approximate)</t>
  </si>
  <si>
    <t xml:space="preserve">CONFIRMED — ~50% of the ~₪7,000 total committed supplier cost, for the WHOLE invoice. Not allocated to individual invoice lines — no per-line deposit split is a confirmed fact.</t>
  </si>
  <si>
    <t xml:space="preserve">Total Supplier Balance Remaining (₪, approximate)</t>
  </si>
  <si>
    <t xml:space="preserve">CONFIRMED — due before shipment, for the whole supplier invoice.</t>
  </si>
  <si>
    <t xml:space="preserve">VESSEL — Packaging Component Requirements &amp; Costs</t>
  </si>
  <si>
    <t xml:space="preserve">Vendors quote fixed lots, not a per-unit rate you can buy any quantity of. 'Economic Usage Cost' values what is actually consumed at the quoted rate, for planning only — it is NOT a real purchase option unless the required quantity happens to equal the quoted lot. 'Actual Cash Required' is what you would really pay: ₪0 if already covered by stock on order, the FULL lot price if the only quoted lot is adequate and nothing is on order yet, or UNKNOWN if the only quoted lot is too small and no covering quote exists.</t>
  </si>
  <si>
    <t xml:space="preserve">Component</t>
  </si>
  <si>
    <t xml:space="preserve">Required Qty (before waste)</t>
  </si>
  <si>
    <t xml:space="preserve">Required Qty incl. Waste Buffer</t>
  </si>
  <si>
    <t xml:space="preserve">Available Quoted Purchase Qty</t>
  </si>
  <si>
    <t xml:space="preserve">Available Quoted Purchase Price (₪)</t>
  </si>
  <si>
    <t xml:space="preserve">Quoted Unit Rate (₪)</t>
  </si>
  <si>
    <t xml:space="preserve">Economic Usage Cost at Quoted Rate (₪) — analytical only, NOT a purchase price</t>
  </si>
  <si>
    <t xml:space="preserve">Quote Adequate for Required Qty?</t>
  </si>
  <si>
    <t xml:space="preserve">Already Ordered Qty</t>
  </si>
  <si>
    <t xml:space="preserve">Already Received Qty</t>
  </si>
  <si>
    <t xml:space="preserve">Actual Cash Required for Available Purchase</t>
  </si>
  <si>
    <t xml:space="preserve">Surplus After Purchase</t>
  </si>
  <si>
    <t xml:space="preserve">Notes / Source</t>
  </si>
  <si>
    <t xml:space="preserve">Pouches (velvet, logo-embossed)</t>
  </si>
  <si>
    <t xml:space="preserve">Part of the jewelry supplier's invoice (10 Aug 2026); ordered together with the jewelry, ~50% paid, in production. Not yet received — confirm and inspect on arrival.</t>
  </si>
  <si>
    <t xml:space="preserve">Cleaning Cloths (silver-polishing)</t>
  </si>
  <si>
    <t xml:space="preserve">Thank-You Cards</t>
  </si>
  <si>
    <t xml:space="preserve">Only quoted lot on record: 1,000 for ₪250. Not ordered, not paid, not received. You cannot buy just the ~110 needed at this rate — the full 1,000-card lot is the only known purchase option.</t>
  </si>
  <si>
    <t xml:space="preserve">Stickers</t>
  </si>
  <si>
    <t xml:space="preserve">Only quoted lot on record: 100 for ₪80 — INSUFFICIENT for the required quantity. No quote exists yet for a lot that actually covers what's needed. This row is the sticker-sufficiency check.</t>
  </si>
  <si>
    <t xml:space="preserve">Cardboard Shipping Boxes (unprinted)</t>
  </si>
  <si>
    <t xml:space="preserve">Only quoted lot on record: 160 unprinted for ₪700. Not ordered, not paid, not received. Printing cost is a separate line below. The full 160-box lot is the only known purchase option.</t>
  </si>
  <si>
    <t xml:space="preserve">Box Printing (add-on, per box)</t>
  </si>
  <si>
    <t xml:space="preserve">No fixed-lot quote exists for printing at all yet — cost has not been obtained from any vendor. Quantity mirrors the box requirement above; printing is priced per box, not a separately stocked item.</t>
  </si>
  <si>
    <t xml:space="preserve">VESSEL — Packaging Summary (auto-calculated)</t>
  </si>
  <si>
    <t xml:space="preserve">Every figure below is a formula reading 'Assumptions' and 'Component Requirements &amp; Costs'. 'Cash required' figures reflect real, purchasable vendor lots — never a linear fraction of a bulk quote. Figures that depend on an unresolved input (an inadequate sticker quote, box printing, VAT status, vendor delivery) display UNKNOWN or INCOMPLETE - COST UNKNOWN rather than silently computing as zero.</t>
  </si>
  <si>
    <t xml:space="preserve">Full Program Economic Value (all required components valued at their quoted unit rate — an analytical value, NOT a purchase price; excludes printing)</t>
  </si>
  <si>
    <t xml:space="preserve">Supplier-order packaging value &amp; deposit status (informational — not additive to cash-required figures below)</t>
  </si>
  <si>
    <t xml:space="preserve">Total Pouch/Cloth Value Included in Supplier Invoice</t>
  </si>
  <si>
    <t xml:space="preserve">Total Supplier Deposit Already Paid (approximate, whole invoice)</t>
  </si>
  <si>
    <t xml:space="preserve">Total Supplier Balance Remaining (approximate, whole invoice)</t>
  </si>
  <si>
    <t xml:space="preserve">Additional cash required (new purchases only — pouches/cloths need none, see note above)</t>
  </si>
  <si>
    <t xml:space="preserve">Known quoted cash required (cards + boxes — full available lots, the only purchasable quantities at a known price)</t>
  </si>
  <si>
    <t xml:space="preserve">Stickers (only quoted lot is insufficient — see Component sheet)</t>
  </si>
  <si>
    <t xml:space="preserve">Box printing add-on</t>
  </si>
  <si>
    <t xml:space="preserve">VAT adjustment (applied to the known quoted cash-required figure only)</t>
  </si>
  <si>
    <t xml:space="preserve">Vendor delivery (flat)</t>
  </si>
  <si>
    <t xml:space="preserve">TOTAL ADDITIONAL CASH REQUIRED (all-in)</t>
  </si>
  <si>
    <t xml:space="preserve">Packaging cost per order (economic allocation at quoted unit rate — NOT a claim about purchasable quantities)</t>
  </si>
  <si>
    <t xml:space="preserve">Per normal order (1 item: 1 pouch, 1 cloth, 1 card, 1 sticker, 1 box + printing)</t>
  </si>
  <si>
    <t xml:space="preserve">Per bundle order (2 items: 2 pouches, 1 cloth, 1 card, 1 sticker, 1 box + printing)</t>
  </si>
  <si>
    <t xml:space="preserve">Sticker sufficiency check</t>
  </si>
  <si>
    <t xml:space="preserve">Are the 100 quoted stickers enough?</t>
  </si>
</sst>
</file>

<file path=xl/styles.xml><?xml version="1.0" encoding="utf-8"?>
<styleSheet xmlns="http://schemas.openxmlformats.org/spreadsheetml/2006/main">
  <numFmts count="8">
    <numFmt numFmtId="164" formatCode="General"/>
    <numFmt numFmtId="165" formatCode="0%"/>
    <numFmt numFmtId="166" formatCode="0.00"/>
    <numFmt numFmtId="167" formatCode="0.000"/>
    <numFmt numFmtId="168" formatCode="\$#,##0.00"/>
    <numFmt numFmtId="169" formatCode="\₪#,##0.00"/>
    <numFmt numFmtId="170" formatCode="\₪#,##0"/>
    <numFmt numFmtId="171" formatCode="\₪#,##0.0000"/>
  </numFmts>
  <fonts count="12">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i val="true"/>
      <sz val="9"/>
      <color rgb="FF9C0006"/>
      <name val="Arial"/>
      <family val="0"/>
      <charset val="1"/>
    </font>
    <font>
      <b val="true"/>
      <sz val="10"/>
      <color rgb="FFFFFFFF"/>
      <name val="Arial"/>
      <family val="0"/>
      <charset val="1"/>
    </font>
    <font>
      <sz val="10"/>
      <name val="Arial"/>
      <family val="0"/>
      <charset val="1"/>
    </font>
    <font>
      <sz val="10"/>
      <color rgb="FF0000FF"/>
      <name val="Arial"/>
      <family val="0"/>
      <charset val="1"/>
    </font>
    <font>
      <i val="true"/>
      <sz val="9"/>
      <color rgb="FF333333"/>
      <name val="Arial"/>
      <family val="0"/>
      <charset val="1"/>
    </font>
    <font>
      <b val="true"/>
      <sz val="11"/>
      <color rgb="FF1F4E78"/>
      <name val="Arial"/>
      <family val="0"/>
      <charset val="1"/>
    </font>
    <font>
      <b val="true"/>
      <sz val="10"/>
      <name val="Arial"/>
      <family val="0"/>
      <charset val="1"/>
    </font>
  </fonts>
  <fills count="7">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FFFF00"/>
        <bgColor rgb="FFFFFF00"/>
      </patternFill>
    </fill>
    <fill>
      <patternFill patternType="solid">
        <fgColor rgb="FFE2EFDA"/>
        <bgColor rgb="FFD9D9D9"/>
      </patternFill>
    </fill>
    <fill>
      <patternFill patternType="solid">
        <fgColor rgb="FFD9D9D9"/>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top" textRotation="0" wrapText="true" indent="1"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5" fontId="8" fillId="0" borderId="1" xfId="0" applyFont="true" applyBorder="true" applyAlignment="true" applyProtection="false">
      <alignment horizontal="left" vertical="center" textRotation="0" wrapText="true" indent="0" shrinkToFit="false"/>
      <protection locked="true" hidden="false"/>
    </xf>
    <xf numFmtId="166" fontId="7" fillId="0" borderId="1" xfId="0" applyFont="true" applyBorder="true" applyAlignment="true" applyProtection="false">
      <alignment horizontal="left" vertical="center"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7" fontId="8" fillId="0" borderId="1" xfId="0" applyFont="true" applyBorder="true" applyAlignment="true" applyProtection="false">
      <alignment horizontal="left" vertical="center" textRotation="0" wrapText="true" indent="0" shrinkToFit="false"/>
      <protection locked="true" hidden="false"/>
    </xf>
    <xf numFmtId="168" fontId="8" fillId="0" borderId="1" xfId="0" applyFont="true" applyBorder="true" applyAlignment="true" applyProtection="false">
      <alignment horizontal="left" vertical="center" textRotation="0" wrapText="true" indent="0" shrinkToFit="false"/>
      <protection locked="true" hidden="false"/>
    </xf>
    <xf numFmtId="169" fontId="8" fillId="4"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8" fontId="8" fillId="5"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0" fontId="8" fillId="5"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9" fontId="7" fillId="0" borderId="1" xfId="0" applyFont="true" applyBorder="true" applyAlignment="true" applyProtection="false">
      <alignment horizontal="center" vertical="center" textRotation="0" wrapText="true" indent="0" shrinkToFit="false"/>
      <protection locked="true" hidden="false"/>
    </xf>
    <xf numFmtId="171"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left" vertical="top" textRotation="0" wrapText="true" indent="1" shrinkToFit="false"/>
      <protection locked="true" hidden="false"/>
    </xf>
    <xf numFmtId="164" fontId="11" fillId="0" borderId="0" xfId="0" applyFont="true" applyBorder="true" applyAlignment="true" applyProtection="false">
      <alignment horizontal="left" vertical="center" textRotation="0" wrapText="true" indent="1"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true" indent="1" shrinkToFit="false"/>
      <protection locked="true" hidden="false"/>
    </xf>
    <xf numFmtId="164" fontId="0" fillId="0" borderId="0" xfId="0" applyFont="true" applyBorder="true" applyAlignment="true" applyProtection="false">
      <alignment horizontal="left" vertical="center" textRotation="0" wrapText="true" indent="1"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9" fontId="11" fillId="6"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2"/>
    <col collapsed="false" customWidth="true" hidden="false" outlineLevel="0" max="2" min="2" style="0" width="16"/>
    <col collapsed="false" customWidth="true" hidden="false" outlineLevel="0" max="3" min="3" style="0" width="62"/>
  </cols>
  <sheetData>
    <row r="1" customFormat="false" ht="21.75" hidden="false" customHeight="true" outlineLevel="0" collapsed="false">
      <c r="A1" s="1" t="s">
        <v>0</v>
      </c>
      <c r="B1" s="1"/>
      <c r="C1" s="1"/>
    </row>
    <row r="2" customFormat="false" ht="30" hidden="false" customHeight="true" outlineLevel="0" collapsed="false">
      <c r="A2" s="2" t="s">
        <v>1</v>
      </c>
      <c r="B2" s="2"/>
      <c r="C2" s="2"/>
    </row>
    <row r="4" customFormat="false" ht="33.75" hidden="false" customHeight="true" outlineLevel="0" collapsed="false">
      <c r="A4" s="3" t="s">
        <v>2</v>
      </c>
      <c r="B4" s="3" t="s">
        <v>3</v>
      </c>
      <c r="C4" s="3" t="s">
        <v>4</v>
      </c>
    </row>
    <row r="5" customFormat="false" ht="15" hidden="false" customHeight="false" outlineLevel="0" collapsed="false">
      <c r="A5" s="4" t="s">
        <v>5</v>
      </c>
      <c r="B5" s="5" t="n">
        <v>120</v>
      </c>
      <c r="C5" s="6" t="s">
        <v>6</v>
      </c>
    </row>
    <row r="6" customFormat="false" ht="22.35" hidden="false" customHeight="false" outlineLevel="0" collapsed="false">
      <c r="A6" s="4" t="s">
        <v>7</v>
      </c>
      <c r="B6" s="7" t="n">
        <v>0.15</v>
      </c>
      <c r="C6" s="6" t="s">
        <v>8</v>
      </c>
    </row>
    <row r="7" customFormat="false" ht="15" hidden="false" customHeight="false" outlineLevel="0" collapsed="false">
      <c r="A7" s="4" t="s">
        <v>9</v>
      </c>
      <c r="B7" s="8" t="n">
        <f aca="false">B6+1</f>
        <v>1.15</v>
      </c>
      <c r="C7" s="6" t="s">
        <v>10</v>
      </c>
    </row>
    <row r="8" customFormat="false" ht="15" hidden="false" customHeight="false" outlineLevel="0" collapsed="false">
      <c r="A8" s="4" t="s">
        <v>11</v>
      </c>
      <c r="B8" s="8" t="n">
        <f aca="false">B5/B7</f>
        <v>104.347826086957</v>
      </c>
      <c r="C8" s="6" t="s">
        <v>12</v>
      </c>
    </row>
    <row r="9" customFormat="false" ht="22.35" hidden="false" customHeight="false" outlineLevel="0" collapsed="false">
      <c r="A9" s="4" t="s">
        <v>13</v>
      </c>
      <c r="B9" s="9"/>
      <c r="C9" s="6" t="s">
        <v>14</v>
      </c>
    </row>
    <row r="10" customFormat="false" ht="15" hidden="false" customHeight="false" outlineLevel="0" collapsed="false">
      <c r="A10" s="4" t="s">
        <v>15</v>
      </c>
      <c r="B10" s="8" t="n">
        <f aca="false">IF(ISBLANK(B9),B8,B9)</f>
        <v>104.347826086957</v>
      </c>
      <c r="C10" s="6" t="s">
        <v>16</v>
      </c>
    </row>
    <row r="11" customFormat="false" ht="15" hidden="false" customHeight="false" outlineLevel="0" collapsed="false">
      <c r="A11" s="4" t="s">
        <v>17</v>
      </c>
      <c r="B11" s="4" t="str">
        <f aca="false">IF(ABS(B10*B7-B5)&lt;0.5,"OK","WARNING: Orders x Avg items per order does not equal Total Units - check the override")</f>
        <v>OK</v>
      </c>
      <c r="C11" s="6" t="s">
        <v>18</v>
      </c>
    </row>
    <row r="12" customFormat="false" ht="22.35" hidden="false" customHeight="false" outlineLevel="0" collapsed="false">
      <c r="A12" s="4" t="s">
        <v>19</v>
      </c>
      <c r="B12" s="7" t="n">
        <v>0.05</v>
      </c>
      <c r="C12" s="6" t="s">
        <v>20</v>
      </c>
    </row>
    <row r="13" customFormat="false" ht="22.35" hidden="false" customHeight="false" outlineLevel="0" collapsed="false">
      <c r="A13" s="4" t="s">
        <v>21</v>
      </c>
      <c r="B13" s="10" t="n">
        <v>3.571</v>
      </c>
      <c r="C13" s="6" t="s">
        <v>22</v>
      </c>
    </row>
    <row r="14" customFormat="false" ht="15" hidden="false" customHeight="false" outlineLevel="0" collapsed="false">
      <c r="A14" s="4" t="s">
        <v>23</v>
      </c>
      <c r="B14" s="11" t="n">
        <v>0.28</v>
      </c>
      <c r="C14" s="6" t="s">
        <v>24</v>
      </c>
    </row>
    <row r="15" customFormat="false" ht="15" hidden="false" customHeight="false" outlineLevel="0" collapsed="false">
      <c r="A15" s="4" t="s">
        <v>25</v>
      </c>
      <c r="B15" s="11" t="n">
        <v>0.2</v>
      </c>
      <c r="C15" s="6" t="s">
        <v>26</v>
      </c>
    </row>
    <row r="16" customFormat="false" ht="15" hidden="false" customHeight="false" outlineLevel="0" collapsed="false">
      <c r="A16" s="4" t="s">
        <v>27</v>
      </c>
      <c r="B16" s="5" t="s">
        <v>28</v>
      </c>
      <c r="C16" s="6" t="s">
        <v>29</v>
      </c>
    </row>
    <row r="17" customFormat="false" ht="15" hidden="false" customHeight="false" outlineLevel="0" collapsed="false">
      <c r="A17" s="4" t="s">
        <v>30</v>
      </c>
      <c r="B17" s="7" t="n">
        <v>0.18</v>
      </c>
      <c r="C17" s="6" t="s">
        <v>31</v>
      </c>
    </row>
    <row r="18" customFormat="false" ht="15" hidden="false" customHeight="false" outlineLevel="0" collapsed="false">
      <c r="A18" s="4" t="s">
        <v>32</v>
      </c>
      <c r="B18" s="12"/>
      <c r="C18" s="6" t="s">
        <v>33</v>
      </c>
    </row>
    <row r="19" customFormat="false" ht="15" hidden="false" customHeight="false" outlineLevel="0" collapsed="false">
      <c r="A19" s="4" t="s">
        <v>34</v>
      </c>
      <c r="B19" s="12"/>
      <c r="C19" s="6" t="s">
        <v>33</v>
      </c>
    </row>
    <row r="21" customFormat="false" ht="15" hidden="false" customHeight="false" outlineLevel="0" collapsed="false">
      <c r="A21" s="13" t="s">
        <v>35</v>
      </c>
    </row>
    <row r="22" customFormat="false" ht="15" hidden="false" customHeight="false" outlineLevel="0" collapsed="false">
      <c r="A22" s="14" t="s">
        <v>36</v>
      </c>
      <c r="B22" s="15" t="n">
        <f aca="false">B10*B6</f>
        <v>15.6521739130435</v>
      </c>
    </row>
    <row r="23" customFormat="false" ht="15" hidden="false" customHeight="false" outlineLevel="0" collapsed="false">
      <c r="A23" s="14" t="s">
        <v>37</v>
      </c>
      <c r="B23" s="15" t="n">
        <f aca="false">B10*(1-B6)</f>
        <v>88.6956521739131</v>
      </c>
    </row>
    <row r="24" customFormat="false" ht="15" hidden="false" customHeight="false" outlineLevel="0" collapsed="false">
      <c r="A24" s="14" t="s">
        <v>38</v>
      </c>
      <c r="B24" s="15" t="n">
        <f aca="false">B23*1+B22*2</f>
        <v>120</v>
      </c>
    </row>
    <row r="25" customFormat="false" ht="15" hidden="false" customHeight="false" outlineLevel="0" collapsed="false">
      <c r="A25" s="14" t="s">
        <v>39</v>
      </c>
      <c r="B25" s="15" t="n">
        <f aca="false">B10</f>
        <v>104.347826086957</v>
      </c>
    </row>
    <row r="27" customFormat="false" ht="15" hidden="false" customHeight="false" outlineLevel="0" collapsed="false">
      <c r="A27" s="13" t="s">
        <v>40</v>
      </c>
    </row>
    <row r="28" customFormat="false" ht="15" hidden="false" customHeight="false" outlineLevel="0" collapsed="false">
      <c r="A28" s="14" t="s">
        <v>41</v>
      </c>
      <c r="B28" s="16" t="n">
        <v>1960.1</v>
      </c>
      <c r="C28" s="17" t="s">
        <v>42</v>
      </c>
    </row>
    <row r="29" customFormat="false" ht="15" hidden="false" customHeight="false" outlineLevel="0" collapsed="false">
      <c r="A29" s="14" t="s">
        <v>43</v>
      </c>
      <c r="B29" s="18" t="n">
        <v>3500</v>
      </c>
      <c r="C29" s="17" t="s">
        <v>44</v>
      </c>
    </row>
    <row r="30" customFormat="false" ht="15" hidden="false" customHeight="false" outlineLevel="0" collapsed="false">
      <c r="A30" s="14" t="s">
        <v>45</v>
      </c>
      <c r="B30" s="18" t="n">
        <v>3500</v>
      </c>
      <c r="C30" s="17" t="s">
        <v>46</v>
      </c>
    </row>
  </sheetData>
  <mergeCells count="2">
    <mergeCell ref="A1:C1"/>
    <mergeCell ref="A2:C2"/>
  </mergeCells>
  <dataValidations count="1">
    <dataValidation allowBlank="true" errorStyle="stop" operator="between" showDropDown="false" showErrorMessage="false" showInputMessage="false" sqref="B16" type="list">
      <formula1>"Yes,No,Unknown"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6"/>
    <col collapsed="false" customWidth="true" hidden="false" outlineLevel="0" max="4" min="2" style="0" width="13"/>
    <col collapsed="false" customWidth="true" hidden="false" outlineLevel="0" max="5" min="5" style="0" width="14"/>
    <col collapsed="false" customWidth="true" hidden="false" outlineLevel="0" max="6" min="6" style="0" width="12"/>
    <col collapsed="false" customWidth="true" hidden="false" outlineLevel="0" max="7" min="7" style="0" width="15"/>
    <col collapsed="false" customWidth="true" hidden="false" outlineLevel="0" max="8" min="8" style="0" width="13"/>
    <col collapsed="false" customWidth="true" hidden="false" outlineLevel="0" max="10" min="9" style="0" width="11"/>
    <col collapsed="false" customWidth="true" hidden="false" outlineLevel="0" max="11" min="11" style="0" width="15"/>
    <col collapsed="false" customWidth="true" hidden="false" outlineLevel="0" max="12" min="12" style="0" width="13"/>
    <col collapsed="false" customWidth="true" hidden="false" outlineLevel="0" max="13" min="13" style="0" width="46"/>
  </cols>
  <sheetData>
    <row r="1" customFormat="false" ht="21.75" hidden="false" customHeight="true" outlineLevel="0" collapsed="false">
      <c r="A1" s="1" t="s">
        <v>47</v>
      </c>
      <c r="B1" s="1"/>
      <c r="C1" s="1"/>
      <c r="D1" s="1"/>
      <c r="E1" s="1"/>
      <c r="F1" s="1"/>
      <c r="G1" s="1"/>
      <c r="H1" s="1"/>
      <c r="I1" s="1"/>
      <c r="J1" s="1"/>
      <c r="K1" s="1"/>
      <c r="L1" s="1"/>
      <c r="M1" s="1"/>
    </row>
    <row r="2" customFormat="false" ht="30" hidden="false" customHeight="true" outlineLevel="0" collapsed="false">
      <c r="A2" s="2" t="s">
        <v>48</v>
      </c>
      <c r="B2" s="2"/>
      <c r="C2" s="2"/>
      <c r="D2" s="2"/>
      <c r="E2" s="2"/>
      <c r="F2" s="2"/>
      <c r="G2" s="2"/>
      <c r="H2" s="2"/>
      <c r="I2" s="2"/>
      <c r="J2" s="2"/>
      <c r="K2" s="2"/>
      <c r="L2" s="2"/>
      <c r="M2" s="2"/>
    </row>
    <row r="4" customFormat="false" ht="33.75" hidden="false" customHeight="true" outlineLevel="0" collapsed="false">
      <c r="A4" s="3" t="s">
        <v>49</v>
      </c>
      <c r="B4" s="3" t="s">
        <v>50</v>
      </c>
      <c r="C4" s="3" t="s">
        <v>51</v>
      </c>
      <c r="D4" s="3" t="s">
        <v>52</v>
      </c>
      <c r="E4" s="3" t="s">
        <v>53</v>
      </c>
      <c r="F4" s="3" t="s">
        <v>54</v>
      </c>
      <c r="G4" s="3" t="s">
        <v>55</v>
      </c>
      <c r="H4" s="3" t="s">
        <v>56</v>
      </c>
      <c r="I4" s="3" t="s">
        <v>57</v>
      </c>
      <c r="J4" s="3" t="s">
        <v>58</v>
      </c>
      <c r="K4" s="3" t="s">
        <v>59</v>
      </c>
      <c r="L4" s="3" t="s">
        <v>60</v>
      </c>
      <c r="M4" s="3" t="s">
        <v>61</v>
      </c>
    </row>
    <row r="5" customFormat="false" ht="35.05" hidden="false" customHeight="false" outlineLevel="0" collapsed="false">
      <c r="A5" s="4" t="s">
        <v>62</v>
      </c>
      <c r="B5" s="19" t="n">
        <f aca="false">Assumptions!B24</f>
        <v>120</v>
      </c>
      <c r="C5" s="19" t="n">
        <f aca="false">ROUNDUP(B5*(1+Assumptions!B12),0)</f>
        <v>126</v>
      </c>
      <c r="D5" s="19" t="n">
        <v>500</v>
      </c>
      <c r="E5" s="20" t="n">
        <f aca="false">D5*Assumptions!B14*Assumptions!B13</f>
        <v>499.94</v>
      </c>
      <c r="F5" s="21" t="n">
        <f aca="false">E5/D5</f>
        <v>0.99988</v>
      </c>
      <c r="G5" s="20" t="n">
        <f aca="false">C5*F5</f>
        <v>125.98488</v>
      </c>
      <c r="H5" s="22" t="str">
        <f aca="false">IF(D5&gt;=C5,"Yes","NO - insufficient")</f>
        <v>Yes</v>
      </c>
      <c r="I5" s="19" t="n">
        <v>500</v>
      </c>
      <c r="J5" s="19" t="n">
        <v>0</v>
      </c>
      <c r="K5" s="20" t="n">
        <f aca="false">IF(I5&gt;=C5,0,IF(H5="Yes",E5,"UNKNOWN - no quote covers required quantity"))</f>
        <v>0</v>
      </c>
      <c r="L5" s="19" t="n">
        <f aca="false">IF(I5&gt;=C5,I5-C5,IF(H5="Yes",(I5+D5)-C5,"UNKNOWN"))</f>
        <v>374</v>
      </c>
      <c r="M5" s="4" t="s">
        <v>63</v>
      </c>
    </row>
    <row r="6" customFormat="false" ht="35.05" hidden="false" customHeight="false" outlineLevel="0" collapsed="false">
      <c r="A6" s="4" t="s">
        <v>64</v>
      </c>
      <c r="B6" s="19" t="n">
        <f aca="false">Assumptions!B25</f>
        <v>104.347826086957</v>
      </c>
      <c r="C6" s="19" t="n">
        <f aca="false">ROUNDUP(B6*(1+Assumptions!B12),0)</f>
        <v>110</v>
      </c>
      <c r="D6" s="19" t="n">
        <v>500</v>
      </c>
      <c r="E6" s="20" t="n">
        <f aca="false">D6*Assumptions!B15*Assumptions!B13</f>
        <v>357.1</v>
      </c>
      <c r="F6" s="21" t="n">
        <f aca="false">E6/D6</f>
        <v>0.7142</v>
      </c>
      <c r="G6" s="20" t="n">
        <f aca="false">C6*F6</f>
        <v>78.562</v>
      </c>
      <c r="H6" s="22" t="str">
        <f aca="false">IF(D6&gt;=C6,"Yes","NO - insufficient")</f>
        <v>Yes</v>
      </c>
      <c r="I6" s="19" t="n">
        <v>500</v>
      </c>
      <c r="J6" s="19" t="n">
        <v>0</v>
      </c>
      <c r="K6" s="20" t="n">
        <f aca="false">IF(I6&gt;=C6,0,IF(H6="Yes",E6,"UNKNOWN - no quote covers required quantity"))</f>
        <v>0</v>
      </c>
      <c r="L6" s="19" t="n">
        <f aca="false">IF(I6&gt;=C6,I6-C6,IF(H6="Yes",(I6+D6)-C6,"UNKNOWN"))</f>
        <v>390</v>
      </c>
      <c r="M6" s="4" t="s">
        <v>63</v>
      </c>
    </row>
    <row r="7" customFormat="false" ht="35.05" hidden="false" customHeight="false" outlineLevel="0" collapsed="false">
      <c r="A7" s="4" t="s">
        <v>65</v>
      </c>
      <c r="B7" s="19" t="n">
        <f aca="false">Assumptions!B25</f>
        <v>104.347826086957</v>
      </c>
      <c r="C7" s="19" t="n">
        <f aca="false">ROUNDUP(B7*(1+Assumptions!B12),0)</f>
        <v>110</v>
      </c>
      <c r="D7" s="19" t="n">
        <v>1000</v>
      </c>
      <c r="E7" s="20" t="n">
        <v>250</v>
      </c>
      <c r="F7" s="21" t="n">
        <f aca="false">E7/D7</f>
        <v>0.25</v>
      </c>
      <c r="G7" s="20" t="n">
        <f aca="false">C7*F7</f>
        <v>27.5</v>
      </c>
      <c r="H7" s="22" t="str">
        <f aca="false">IF(D7&gt;=C7,"Yes","NO - insufficient")</f>
        <v>Yes</v>
      </c>
      <c r="I7" s="19" t="n">
        <v>0</v>
      </c>
      <c r="J7" s="19" t="n">
        <v>0</v>
      </c>
      <c r="K7" s="20" t="n">
        <f aca="false">IF(I7&gt;=C7,0,IF(H7="Yes",E7,"UNKNOWN - no quote covers required quantity"))</f>
        <v>250</v>
      </c>
      <c r="L7" s="19" t="n">
        <f aca="false">IF(I7&gt;=C7,I7-C7,IF(H7="Yes",(I7+D7)-C7,"UNKNOWN"))</f>
        <v>890</v>
      </c>
      <c r="M7" s="4" t="s">
        <v>66</v>
      </c>
    </row>
    <row r="8" customFormat="false" ht="35.05" hidden="false" customHeight="false" outlineLevel="0" collapsed="false">
      <c r="A8" s="4" t="s">
        <v>67</v>
      </c>
      <c r="B8" s="19" t="n">
        <f aca="false">Assumptions!B25</f>
        <v>104.347826086957</v>
      </c>
      <c r="C8" s="19" t="n">
        <f aca="false">ROUNDUP(B8*(1+Assumptions!B12),0)</f>
        <v>110</v>
      </c>
      <c r="D8" s="19" t="n">
        <v>100</v>
      </c>
      <c r="E8" s="20" t="n">
        <v>80</v>
      </c>
      <c r="F8" s="21" t="n">
        <f aca="false">E8/D8</f>
        <v>0.8</v>
      </c>
      <c r="G8" s="20" t="n">
        <f aca="false">C8*F8</f>
        <v>88</v>
      </c>
      <c r="H8" s="22" t="str">
        <f aca="false">IF(D8&gt;=C8,"Yes","NO - insufficient")</f>
        <v>NO - insufficient</v>
      </c>
      <c r="I8" s="19" t="n">
        <v>0</v>
      </c>
      <c r="J8" s="19" t="n">
        <v>0</v>
      </c>
      <c r="K8" s="20" t="str">
        <f aca="false">IF(I8&gt;=C8,0,IF(H8="Yes",E8,"UNKNOWN - no quote covers required quantity"))</f>
        <v>UNKNOWN - no quote covers required quantity</v>
      </c>
      <c r="L8" s="19" t="str">
        <f aca="false">IF(I8&gt;=C8,I8-C8,IF(H8="Yes",(I8+D8)-C8,"UNKNOWN"))</f>
        <v>UNKNOWN</v>
      </c>
      <c r="M8" s="4" t="s">
        <v>68</v>
      </c>
    </row>
    <row r="9" customFormat="false" ht="35.05" hidden="false" customHeight="false" outlineLevel="0" collapsed="false">
      <c r="A9" s="4" t="s">
        <v>69</v>
      </c>
      <c r="B9" s="19" t="n">
        <f aca="false">Assumptions!B25</f>
        <v>104.347826086957</v>
      </c>
      <c r="C9" s="19" t="n">
        <f aca="false">ROUNDUP(B9*(1+Assumptions!B12),0)</f>
        <v>110</v>
      </c>
      <c r="D9" s="19" t="n">
        <v>160</v>
      </c>
      <c r="E9" s="20" t="n">
        <v>700</v>
      </c>
      <c r="F9" s="21" t="n">
        <f aca="false">E9/D9</f>
        <v>4.375</v>
      </c>
      <c r="G9" s="20" t="n">
        <f aca="false">C9*F9</f>
        <v>481.25</v>
      </c>
      <c r="H9" s="22" t="str">
        <f aca="false">IF(D9&gt;=C9,"Yes","NO - insufficient")</f>
        <v>Yes</v>
      </c>
      <c r="I9" s="19" t="n">
        <v>0</v>
      </c>
      <c r="J9" s="19" t="n">
        <v>0</v>
      </c>
      <c r="K9" s="20" t="n">
        <f aca="false">IF(I9&gt;=C9,0,IF(H9="Yes",E9,"UNKNOWN - no quote covers required quantity"))</f>
        <v>700</v>
      </c>
      <c r="L9" s="19" t="n">
        <f aca="false">IF(I9&gt;=C9,I9-C9,IF(H9="Yes",(I9+D9)-C9,"UNKNOWN"))</f>
        <v>50</v>
      </c>
      <c r="M9" s="4" t="s">
        <v>70</v>
      </c>
    </row>
    <row r="10" customFormat="false" ht="35.05" hidden="false" customHeight="false" outlineLevel="0" collapsed="false">
      <c r="A10" s="4" t="s">
        <v>71</v>
      </c>
      <c r="B10" s="19" t="n">
        <f aca="false">B9</f>
        <v>104.347826086957</v>
      </c>
      <c r="C10" s="19" t="n">
        <f aca="false">C9</f>
        <v>110</v>
      </c>
      <c r="D10" s="22"/>
      <c r="E10" s="22"/>
      <c r="F10" s="21" t="str">
        <f aca="false">IF(ISBLANK(Assumptions!B19),"UNKNOWN",Assumptions!B19)</f>
        <v>UNKNOWN</v>
      </c>
      <c r="G10" s="20" t="str">
        <f aca="false">IF(ISNUMBER(F10),C10*F10,"UNKNOWN")</f>
        <v>UNKNOWN</v>
      </c>
      <c r="H10" s="22"/>
      <c r="I10" s="22"/>
      <c r="J10" s="22"/>
      <c r="K10" s="20" t="str">
        <f aca="false">IF(ISNUMBER(F10),C10*F10,"UNKNOWN")</f>
        <v>UNKNOWN</v>
      </c>
      <c r="L10" s="22"/>
      <c r="M10" s="4" t="s">
        <v>72</v>
      </c>
    </row>
  </sheetData>
  <mergeCells count="2">
    <mergeCell ref="A1:M1"/>
    <mergeCell ref="A2:M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
    <col collapsed="false" customWidth="true" hidden="false" outlineLevel="0" max="5" min="2" style="0" width="10"/>
    <col collapsed="false" customWidth="true" hidden="false" outlineLevel="0" max="6" min="6" style="0" width="26"/>
    <col collapsed="false" customWidth="true" hidden="false" outlineLevel="0" max="8" min="7" style="0" width="4"/>
  </cols>
  <sheetData>
    <row r="1" customFormat="false" ht="21.75" hidden="false" customHeight="true" outlineLevel="0" collapsed="false">
      <c r="A1" s="1" t="s">
        <v>73</v>
      </c>
      <c r="B1" s="1"/>
      <c r="C1" s="1"/>
      <c r="D1" s="1"/>
      <c r="E1" s="1"/>
      <c r="F1" s="1"/>
      <c r="G1" s="1"/>
      <c r="H1" s="1"/>
    </row>
    <row r="2" customFormat="false" ht="30" hidden="false" customHeight="true" outlineLevel="0" collapsed="false">
      <c r="A2" s="23" t="s">
        <v>74</v>
      </c>
      <c r="B2" s="23"/>
      <c r="C2" s="23"/>
      <c r="D2" s="23"/>
      <c r="E2" s="23"/>
      <c r="F2" s="23"/>
      <c r="G2" s="23"/>
      <c r="H2" s="23"/>
    </row>
    <row r="4" customFormat="false" ht="35.05" hidden="false" customHeight="true" outlineLevel="0" collapsed="false">
      <c r="A4" s="24" t="s">
        <v>75</v>
      </c>
      <c r="B4" s="24"/>
      <c r="C4" s="24"/>
      <c r="D4" s="24"/>
      <c r="E4" s="24"/>
      <c r="F4" s="25" t="n">
        <f aca="false">SUM('Component Requirements &amp; Costs'!G5:G9)</f>
        <v>801.29688</v>
      </c>
    </row>
    <row r="6" customFormat="false" ht="115.65" hidden="false" customHeight="false" outlineLevel="0" collapsed="false">
      <c r="A6" s="26" t="s">
        <v>76</v>
      </c>
    </row>
    <row r="7" customFormat="false" ht="15" hidden="false" customHeight="true" outlineLevel="0" collapsed="false">
      <c r="A7" s="27" t="s">
        <v>77</v>
      </c>
      <c r="B7" s="27"/>
      <c r="C7" s="27"/>
      <c r="D7" s="27"/>
      <c r="E7" s="27"/>
      <c r="F7" s="25" t="n">
        <f aca="false">'Component Requirements &amp; Costs'!E5+'Component Requirements &amp; Costs'!E6</f>
        <v>857.04</v>
      </c>
    </row>
    <row r="8" customFormat="false" ht="28.35" hidden="false" customHeight="true" outlineLevel="0" collapsed="false">
      <c r="A8" s="27" t="s">
        <v>78</v>
      </c>
      <c r="B8" s="27"/>
      <c r="C8" s="27"/>
      <c r="D8" s="27"/>
      <c r="E8" s="27"/>
      <c r="F8" s="28" t="n">
        <f aca="false">Assumptions!B29</f>
        <v>3500</v>
      </c>
    </row>
    <row r="9" customFormat="false" ht="28.35" hidden="false" customHeight="true" outlineLevel="0" collapsed="false">
      <c r="A9" s="27" t="s">
        <v>79</v>
      </c>
      <c r="B9" s="27"/>
      <c r="C9" s="27"/>
      <c r="D9" s="27"/>
      <c r="E9" s="27"/>
      <c r="F9" s="28" t="n">
        <f aca="false">Assumptions!B30</f>
        <v>3500</v>
      </c>
    </row>
    <row r="11" customFormat="false" ht="115.65" hidden="false" customHeight="false" outlineLevel="0" collapsed="false">
      <c r="A11" s="26" t="s">
        <v>80</v>
      </c>
    </row>
    <row r="12" customFormat="false" ht="28.35" hidden="false" customHeight="true" outlineLevel="0" collapsed="false">
      <c r="A12" s="27" t="s">
        <v>81</v>
      </c>
      <c r="B12" s="27"/>
      <c r="C12" s="27"/>
      <c r="D12" s="27"/>
      <c r="E12" s="27"/>
      <c r="F12" s="25" t="n">
        <f aca="false">'Component Requirements &amp; Costs'!K7+'Component Requirements &amp; Costs'!K9</f>
        <v>950</v>
      </c>
    </row>
    <row r="13" customFormat="false" ht="28.35" hidden="false" customHeight="true" outlineLevel="0" collapsed="false">
      <c r="A13" s="27" t="s">
        <v>82</v>
      </c>
      <c r="B13" s="27"/>
      <c r="C13" s="27"/>
      <c r="D13" s="27"/>
      <c r="E13" s="27"/>
      <c r="F13" s="25" t="str">
        <f aca="false">'Component Requirements &amp; Costs'!K8</f>
        <v>UNKNOWN - no quote covers required quantity</v>
      </c>
    </row>
    <row r="14" customFormat="false" ht="15" hidden="false" customHeight="true" outlineLevel="0" collapsed="false">
      <c r="A14" s="27" t="s">
        <v>83</v>
      </c>
      <c r="B14" s="27"/>
      <c r="C14" s="27"/>
      <c r="D14" s="27"/>
      <c r="E14" s="27"/>
      <c r="F14" s="25" t="str">
        <f aca="false">'Component Requirements &amp; Costs'!K10</f>
        <v>UNKNOWN</v>
      </c>
    </row>
    <row r="15" customFormat="false" ht="28.35" hidden="false" customHeight="true" outlineLevel="0" collapsed="false">
      <c r="A15" s="27" t="s">
        <v>84</v>
      </c>
      <c r="B15" s="27"/>
      <c r="C15" s="27"/>
      <c r="D15" s="27"/>
      <c r="E15" s="27"/>
      <c r="F15" s="25" t="str">
        <f aca="false">IF(Assumptions!B16="Yes",0,IF(Assumptions!B16="No",F12*Assumptions!B17,"UNKNOWN"))</f>
        <v>UNKNOWN</v>
      </c>
    </row>
    <row r="16" customFormat="false" ht="15" hidden="false" customHeight="true" outlineLevel="0" collapsed="false">
      <c r="A16" s="27" t="s">
        <v>85</v>
      </c>
      <c r="B16" s="27"/>
      <c r="C16" s="27"/>
      <c r="D16" s="27"/>
      <c r="E16" s="27"/>
      <c r="F16" s="25" t="str">
        <f aca="false">IF(ISBLANK(Assumptions!B18),"UNKNOWN",Assumptions!B18)</f>
        <v>UNKNOWN</v>
      </c>
    </row>
    <row r="17" customFormat="false" ht="15" hidden="false" customHeight="true" outlineLevel="0" collapsed="false">
      <c r="A17" s="24" t="s">
        <v>86</v>
      </c>
      <c r="B17" s="24"/>
      <c r="C17" s="24"/>
      <c r="D17" s="24"/>
      <c r="E17" s="24"/>
      <c r="F17" s="29" t="str">
        <f aca="false">IF(AND(ISNUMBER(F13),ISNUMBER(F14),ISNUMBER(F15),ISNUMBER(F16)),F12+F13+F14+F15+F16,"INCOMPLETE - COST UNKNOWN")</f>
        <v>INCOMPLETE - COST UNKNOWN</v>
      </c>
    </row>
    <row r="19" customFormat="false" ht="115.65" hidden="false" customHeight="false" outlineLevel="0" collapsed="false">
      <c r="A19" s="26" t="s">
        <v>87</v>
      </c>
    </row>
    <row r="20" customFormat="false" ht="28.35" hidden="false" customHeight="true" outlineLevel="0" collapsed="false">
      <c r="A20" s="27" t="s">
        <v>88</v>
      </c>
      <c r="B20" s="27"/>
      <c r="C20" s="27"/>
      <c r="D20" s="27"/>
      <c r="E20" s="27"/>
      <c r="F20" s="30" t="str">
        <f aca="false">IF(ISNUMBER('Component Requirements &amp; Costs'!F10),'Component Requirements &amp; Costs'!F5+'Component Requirements &amp; Costs'!F6+'Component Requirements &amp; Costs'!F7+'Component Requirements &amp; Costs'!F8+'Component Requirements &amp; Costs'!F9+'Component Requirements &amp; Costs'!F10,"INCOMPLETE - COST UNKNOWN (printing not yet quoted)")</f>
        <v>INCOMPLETE - COST UNKNOWN (printing not yet quoted)</v>
      </c>
    </row>
    <row r="21" customFormat="false" ht="28.35" hidden="false" customHeight="true" outlineLevel="0" collapsed="false">
      <c r="A21" s="27" t="s">
        <v>89</v>
      </c>
      <c r="B21" s="27"/>
      <c r="C21" s="27"/>
      <c r="D21" s="27"/>
      <c r="E21" s="27"/>
      <c r="F21" s="30" t="str">
        <f aca="false">IF(ISNUMBER('Component Requirements &amp; Costs'!F10),'Component Requirements &amp; Costs'!F5*2+'Component Requirements &amp; Costs'!F6+'Component Requirements &amp; Costs'!F7+'Component Requirements &amp; Costs'!F8+'Component Requirements &amp; Costs'!F9+'Component Requirements &amp; Costs'!F10,"INCOMPLETE - COST UNKNOWN (printing not yet quoted)")</f>
        <v>INCOMPLETE - COST UNKNOWN (printing not yet quoted)</v>
      </c>
    </row>
    <row r="23" customFormat="false" ht="39.55" hidden="false" customHeight="false" outlineLevel="0" collapsed="false">
      <c r="A23" s="26" t="s">
        <v>90</v>
      </c>
    </row>
    <row r="24" customFormat="false" ht="15" hidden="false" customHeight="true" outlineLevel="0" collapsed="false">
      <c r="A24" s="27" t="s">
        <v>91</v>
      </c>
      <c r="B24" s="27"/>
      <c r="C24" s="27"/>
      <c r="D24" s="27"/>
      <c r="E24" s="27"/>
      <c r="F24" s="31" t="str">
        <f aca="false">IF('Component Requirements &amp; Costs'!D8&gt;='Component Requirements &amp; Costs'!C8,"Sufficient - quote covers requirement","SHORTFALL - quoted 100 is NOT enough, 0 are currently ordered, and the price for an adequate quantity is unknown")</f>
        <v>SHORTFALL - quoted 100 is NOT enough, 0 are currently ordered, and the price for an adequate quantity is unknown</v>
      </c>
    </row>
  </sheetData>
  <mergeCells count="15">
    <mergeCell ref="A1:H1"/>
    <mergeCell ref="A2:H2"/>
    <mergeCell ref="A4:E4"/>
    <mergeCell ref="A7:E7"/>
    <mergeCell ref="A8:E8"/>
    <mergeCell ref="A9:E9"/>
    <mergeCell ref="A12:E12"/>
    <mergeCell ref="A13:E13"/>
    <mergeCell ref="A14:E14"/>
    <mergeCell ref="A15:E15"/>
    <mergeCell ref="A16:E16"/>
    <mergeCell ref="A17:E17"/>
    <mergeCell ref="A20:E20"/>
    <mergeCell ref="A21:E21"/>
    <mergeCell ref="A24:E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2026-09-02T10:20:00Z</dcterms:created>
  <dc:creator>openpyxl</dc:creator>
  <dc:description/>
  <dc:language>en-US</dc:language>
  <cp:lastModifiedBy/>
  <dcterms:modified xsi:type="dcterms:W3CDTF">2026-09-02T10:20:00Z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