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Component Requirements &amp; Costs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<sst xmlns="http://schemas.openxmlformats.org/spreadsheetml/2006/main" count="101" uniqueCount="96">
  <si>
    <t xml:space="preserve">VESSEL — Packaging Assumptions (editable inputs)</t>
  </si>
  <si>
    <t xml:space="preserve">Blue = editable input. Everything else on this sheet and workbook is a formula. Unknown costs (printing, VAT, delivery) are left BLANK deliberately — a blank is not a confirmed zero. Change any blue cell and every other sheet recalculates.</t>
  </si>
  <si>
    <t xml:space="preserve">Assumption</t>
  </si>
  <si>
    <t xml:space="preserve">Value</t>
  </si>
  <si>
    <t xml:space="preserve">Notes</t>
  </si>
  <si>
    <t xml:space="preserve">Total Units to Sell</t>
  </si>
  <si>
    <t xml:space="preserve">CONFIRMED — 8 SKUs x 15 units = 120.</t>
  </si>
  <si>
    <t xml:space="preserve">Bundle-Order %</t>
  </si>
  <si>
    <t xml:space="preserve">MODEL ASSUMPTION — reproduces the financial model's existing 1.15 items/order and ~104-order figures (120 / 1.15 ~ 104.35). True bundle take rate is unknown; edit freely.</t>
  </si>
  <si>
    <t xml:space="preserve">Average Items per Order (= 1 + Bundle-Order %)</t>
  </si>
  <si>
    <t xml:space="preserve">Derived. Normal order = 1 item, bundle order = 2 items.</t>
  </si>
  <si>
    <t xml:space="preserve">Expected Orders (calculated)</t>
  </si>
  <si>
    <t xml:space="preserve">Formula: Total Units / Average Items per Order.</t>
  </si>
  <si>
    <t xml:space="preserve">Manual Order Count Override (optional)</t>
  </si>
  <si>
    <t xml:space="preserve">Leave BLANK to use the calculated figure above. If you override, check the Consistency Check row below.</t>
  </si>
  <si>
    <t xml:space="preserve">Orders Used</t>
  </si>
  <si>
    <t xml:space="preserve">Formula: Override if given, else the calculated figure.</t>
  </si>
  <si>
    <t xml:space="preserve">Consistency Check</t>
  </si>
  <si>
    <t xml:space="preserve">Only flags a problem when the manual override is used and is inconsistent with Total Units.</t>
  </si>
  <si>
    <t xml:space="preserve">Spare / Waste Buffer %</t>
  </si>
  <si>
    <t xml:space="preserve">Editable buffer applied on top of calculated requirements (damage, re-packing, samples). Adjust based on real experience.</t>
  </si>
  <si>
    <t xml:space="preserve">USD -&gt; ILS Rate</t>
  </si>
  <si>
    <t xml:space="preserve">Sourced from the financial model: ~₪7,000 total supplier payment / US$1,960.10 invoice ~ ₪3.571/US$. Reused here for consistency, not a new rate.</t>
  </si>
  <si>
    <t xml:space="preserve">Pouch Unit Cost (US$)</t>
  </si>
  <si>
    <t xml:space="preserve">CONFIRMED — supplier invoice, 10 Aug 2026 (500 pouches @ US$0.28 = US$140).</t>
  </si>
  <si>
    <t xml:space="preserve">Cloth Unit Cost (US$)</t>
  </si>
  <si>
    <t xml:space="preserve">CONFIRMED — supplier invoice, 10 Aug 2026 (500 cloths @ US$0.20 = US$100).</t>
  </si>
  <si>
    <t xml:space="preserve">VAT Included in Component Quotes?</t>
  </si>
  <si>
    <t xml:space="preserve">Unknown</t>
  </si>
  <si>
    <t xml:space="preserve">OPEN ITEM — must be confirmed with each vendor. Do not assume Yes or No.</t>
  </si>
  <si>
    <t xml:space="preserve">VAT % (used only if quotes exclude VAT)</t>
  </si>
  <si>
    <t xml:space="preserve">Editable. Standard Israeli VAT rate, for scenario testing.</t>
  </si>
  <si>
    <t xml:space="preserve">Vendor Delivery Cost (₪, flat)</t>
  </si>
  <si>
    <t xml:space="preserve">UNKNOWN — leave BLANK until quoted. A blank here means unresolved, not ₪0.</t>
  </si>
  <si>
    <t xml:space="preserve">Box Printing Cost per Unit (₪)</t>
  </si>
  <si>
    <t xml:space="preserve">Derived (used by the Component Requirements sheet)</t>
  </si>
  <si>
    <t xml:space="preserve">Bundle Orders (count)</t>
  </si>
  <si>
    <t xml:space="preserve">Normal Orders (count)</t>
  </si>
  <si>
    <t xml:space="preserve">Total Pouches Required (before waste)</t>
  </si>
  <si>
    <t xml:space="preserve">Total Per-Order Components Required (before waste) — cloths/cards/stickers/boxes</t>
  </si>
  <si>
    <t xml:space="preserve">Confirmed supplier-payment facts (for the packaging value/deposit breakdown)</t>
  </si>
  <si>
    <t xml:space="preserve">Total Supplier Invoice Value (US$)</t>
  </si>
  <si>
    <t xml:space="preserve">CONFIRMED — full supplier order invoice total, 10 Aug 2026.</t>
  </si>
  <si>
    <t xml:space="preserve">Total Supplier Deposit Already Paid (₪)</t>
  </si>
  <si>
    <t xml:space="preserve">CONFIRMED — ~50% of the ₪7,000 total committed supplier cost. This deposit was NOT allocated to individual invoice lines.</t>
  </si>
  <si>
    <t xml:space="preserve">Total Supplier Balance Remaining (₪)</t>
  </si>
  <si>
    <t xml:space="preserve">CONFIRMED — due before shipment, per the whole supplier invoice.</t>
  </si>
  <si>
    <t xml:space="preserve">VESSEL — Packaging Component Requirements &amp; Costs</t>
  </si>
  <si>
    <t xml:space="preserve">Required quantities are driven ONLY by the packaging rule x Assumptions — never netted against Quoted Qty. 'Remaining Qty Needed' compares against Ordered Qty (what is actually committed), not Quoted Qty (what a vendor has merely priced). 'Recommended Qty to Order' rounds up to the vendor's MOQ once known; MOQ is left UNKNOWN rather than assumed where no lot size is confirmed anywhere in the source material.</t>
  </si>
  <si>
    <t xml:space="preserve">Component</t>
  </si>
  <si>
    <t xml:space="preserve">Quoted Qty</t>
  </si>
  <si>
    <t xml:space="preserve">Ordered Qty</t>
  </si>
  <si>
    <t xml:space="preserve">Received Qty</t>
  </si>
  <si>
    <t xml:space="preserve">Calculated Qty Required (before waste)</t>
  </si>
  <si>
    <t xml:space="preserve">Required Qty incl. Waste Buffer</t>
  </si>
  <si>
    <t xml:space="preserve">Quoted Qty Sufficient?</t>
  </si>
  <si>
    <t xml:space="preserve">Remaining Qty Needed</t>
  </si>
  <si>
    <t xml:space="preserve">Vendor MOQ / Lot Size</t>
  </si>
  <si>
    <t xml:space="preserve">Recommended Qty to Order</t>
  </si>
  <si>
    <t xml:space="preserve">Expected Surplus After Ordering</t>
  </si>
  <si>
    <t xml:space="preserve">Unit Cost (₪)</t>
  </si>
  <si>
    <t xml:space="preserve">Cash Required (Actual Order Qty)</t>
  </si>
  <si>
    <t xml:space="preserve">Notes / Source</t>
  </si>
  <si>
    <t xml:space="preserve">Pouches (velvet, logo-embossed)</t>
  </si>
  <si>
    <t xml:space="preserve">N/A — bundled in jewelry supplier order</t>
  </si>
  <si>
    <t xml:space="preserve">Part of the jewelry supplier's invoice (10 Aug 2026); ordered together with the jewelry, ~50% paid, in production. Not yet received — confirm and inspect on arrival.</t>
  </si>
  <si>
    <t xml:space="preserve">Cleaning Cloths (silver-polishing)</t>
  </si>
  <si>
    <t xml:space="preserve">Thank-You Cards</t>
  </si>
  <si>
    <t xml:space="preserve">UNKNOWN - confirm with vendor</t>
  </si>
  <si>
    <t xml:space="preserve">QUOTED ONLY: ₪250 for 1,000 (₪0.25 each). Not ordered, not paid, not received.</t>
  </si>
  <si>
    <t xml:space="preserve">Stickers</t>
  </si>
  <si>
    <t xml:space="preserve">QUOTED ONLY: ₪80 for 100 (₪0.80 each). Not ordered, not paid, not received. This row is the sticker-sufficiency check.</t>
  </si>
  <si>
    <t xml:space="preserve">Cardboard Shipping Boxes (unprinted)</t>
  </si>
  <si>
    <t xml:space="preserve">QUOTED ONLY: ₪700 for 160 unprinted (₪4.375 each). Not ordered, not paid, not received. Printing cost is a separate line below.</t>
  </si>
  <si>
    <t xml:space="preserve">Box Printing (add-on, per box)</t>
  </si>
  <si>
    <t xml:space="preserve">N/A - tied to box order, no separate lot size</t>
  </si>
  <si>
    <t xml:space="preserve">Printing cost has not been quoted. Quantity mirrors the box requirement above; printing is priced per box, not a separately stocked item.</t>
  </si>
  <si>
    <t xml:space="preserve">VESSEL — Packaging Summary (auto-calculated)</t>
  </si>
  <si>
    <t xml:space="preserve">Every figure below is a formula reading 'Assumptions' and 'Component Requirements &amp; Costs'. Figures that depend on an unresolved input (box printing, VAT status, vendor delivery) display UNKNOWN or INCOMPLETE - COST UNKNOWN rather than silently computing as if that cost were zero.</t>
  </si>
  <si>
    <t xml:space="preserve">Full Program Value (all required components at cost, as quoted — excludes printing)</t>
  </si>
  <si>
    <t xml:space="preserve">Supplier-order packaging value &amp; deposit status (informational — not additive to cash-required figures below)</t>
  </si>
  <si>
    <t xml:space="preserve">Total Pouch/Cloth Value Included in Supplier Invoice</t>
  </si>
  <si>
    <t xml:space="preserve">Total Supplier Deposit Already Paid (whole invoice — not allocated by line)</t>
  </si>
  <si>
    <t xml:space="preserve">Total Supplier Balance Remaining (whole invoice)</t>
  </si>
  <si>
    <t xml:space="preserve">MODEL ASSUMPTION (not a fact) — IF the deposit were allocated proportionally by invoice value, packaging's illustrative share of the paid deposit would be:</t>
  </si>
  <si>
    <t xml:space="preserve">Additional cash required (new purchases only — pouches/cloths excluded, see note above)</t>
  </si>
  <si>
    <t xml:space="preserve">As quoted (components only, excl. printing/VAT/delivery)</t>
  </si>
  <si>
    <t xml:space="preserve">Box printing add-on</t>
  </si>
  <si>
    <t xml:space="preserve">VAT adjustment (applied to the 'as quoted' components subtotal only)</t>
  </si>
  <si>
    <t xml:space="preserve">Vendor delivery (flat)</t>
  </si>
  <si>
    <t xml:space="preserve">TOTAL ADDITIONAL CASH REQUIRED (all-in)</t>
  </si>
  <si>
    <t xml:space="preserve">Packaging cost per order</t>
  </si>
  <si>
    <t xml:space="preserve">Per normal order (1 item: 1 pouch, 1 cloth, 1 card, 1 sticker, 1 box + printing)</t>
  </si>
  <si>
    <t xml:space="preserve">Per bundle order (2 items: 2 pouches, 1 cloth, 1 card, 1 sticker, 1 box + printing)</t>
  </si>
  <si>
    <t xml:space="preserve">Sticker sufficiency check</t>
  </si>
  <si>
    <t xml:space="preserve">Are the 100 quoted stickers enough?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</si>
</sst>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0"/>
    <numFmt numFmtId="167" formatCode="0.000"/>
    <numFmt numFmtId="168" formatCode="\$#,##0.00"/>
    <numFmt numFmtId="169" formatCode="\₪#,##0.00"/>
    <numFmt numFmtId="170" formatCode="\₪#,##0"/>
    <numFmt numFmtId="171" formatCode="\₪#,##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i val="true"/>
      <sz val="9"/>
      <color rgb="FF9C000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333333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9C000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D9D9"/>
      </patternFill>
    </fill>
    <fill>
      <patternFill patternType="solid">
        <fgColor rgb="FFD9D9D9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21.75" hidden="false" customHeight="true" outlineLevel="0" collapsed="false">
      <c r="A1" s="1" t="s">
        <v>0</v>
      </c>
      <c r="B1" s="1"/>
      <c r="C1" s="1"/>
    </row>
    <row r="2" customFormat="false" ht="30" hidden="false" customHeight="true" outlineLevel="0" collapsed="false">
      <c r="A2" s="2" t="s">
        <v>1</v>
      </c>
      <c r="B2" s="2"/>
      <c r="C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v>120</v>
      </c>
      <c r="C5" s="6" t="s">
        <v>6</v>
      </c>
    </row>
    <row r="6" customFormat="false" ht="22.35" hidden="false" customHeight="false" outlineLevel="0" collapsed="false">
      <c r="A6" s="4" t="s">
        <v>7</v>
      </c>
      <c r="B6" s="7" t="n">
        <v>0.15</v>
      </c>
      <c r="C6" s="6" t="s">
        <v>8</v>
      </c>
    </row>
    <row r="7" customFormat="false" ht="15" hidden="false" customHeight="false" outlineLevel="0" collapsed="false">
      <c r="A7" s="4" t="s">
        <v>9</v>
      </c>
      <c r="B7" s="8" t="n">
        <f aca="false">B6+1</f>
        <v>1.15</v>
      </c>
      <c r="C7" s="6" t="s">
        <v>10</v>
      </c>
    </row>
    <row r="8" customFormat="false" ht="15" hidden="false" customHeight="false" outlineLevel="0" collapsed="false">
      <c r="A8" s="4" t="s">
        <v>11</v>
      </c>
      <c r="B8" s="8" t="n">
        <f aca="false">B5/B7</f>
        <v>104.347826086957</v>
      </c>
      <c r="C8" s="6" t="s">
        <v>12</v>
      </c>
    </row>
    <row r="9" customFormat="false" ht="22.35" hidden="false" customHeight="false" outlineLevel="0" collapsed="false">
      <c r="A9" s="4" t="s">
        <v>13</v>
      </c>
      <c r="B9" s="9"/>
      <c r="C9" s="6" t="s">
        <v>14</v>
      </c>
    </row>
    <row r="10" customFormat="false" ht="15" hidden="false" customHeight="false" outlineLevel="0" collapsed="false">
      <c r="A10" s="4" t="s">
        <v>15</v>
      </c>
      <c r="B10" s="8" t="n">
        <f aca="false">IF(ISBLANK(B9),B8,B9)</f>
        <v>104.347826086957</v>
      </c>
      <c r="C10" s="6" t="s">
        <v>16</v>
      </c>
    </row>
    <row r="11" customFormat="false" ht="15" hidden="false" customHeight="false" outlineLevel="0" collapsed="false">
      <c r="A11" s="4" t="s">
        <v>17</v>
      </c>
      <c r="B11" s="4" t="str">
        <f aca="false">IF(ABS(B10*B7-B5)&lt;0.5,"OK","WARNING: Orders x Avg items per order does not equal Total Units - check the override")</f>
        <v>OK</v>
      </c>
      <c r="C11" s="6" t="s">
        <v>18</v>
      </c>
    </row>
    <row r="12" customFormat="false" ht="22.35" hidden="false" customHeight="false" outlineLevel="0" collapsed="false">
      <c r="A12" s="4" t="s">
        <v>19</v>
      </c>
      <c r="B12" s="7" t="n">
        <v>0.05</v>
      </c>
      <c r="C12" s="6" t="s">
        <v>20</v>
      </c>
    </row>
    <row r="13" customFormat="false" ht="22.35" hidden="false" customHeight="false" outlineLevel="0" collapsed="false">
      <c r="A13" s="4" t="s">
        <v>21</v>
      </c>
      <c r="B13" s="10" t="n">
        <v>3.571</v>
      </c>
      <c r="C13" s="6" t="s">
        <v>22</v>
      </c>
    </row>
    <row r="14" customFormat="false" ht="15" hidden="false" customHeight="false" outlineLevel="0" collapsed="false">
      <c r="A14" s="4" t="s">
        <v>23</v>
      </c>
      <c r="B14" s="11" t="n">
        <v>0.28</v>
      </c>
      <c r="C14" s="6" t="s">
        <v>24</v>
      </c>
    </row>
    <row r="15" customFormat="false" ht="15" hidden="false" customHeight="false" outlineLevel="0" collapsed="false">
      <c r="A15" s="4" t="s">
        <v>25</v>
      </c>
      <c r="B15" s="11" t="n">
        <v>0.2</v>
      </c>
      <c r="C15" s="6" t="s">
        <v>26</v>
      </c>
    </row>
    <row r="16" customFormat="false" ht="15" hidden="false" customHeight="false" outlineLevel="0" collapsed="false">
      <c r="A16" s="4" t="s">
        <v>27</v>
      </c>
      <c r="B16" s="5" t="s">
        <v>28</v>
      </c>
      <c r="C16" s="6" t="s">
        <v>29</v>
      </c>
    </row>
    <row r="17" customFormat="false" ht="15" hidden="false" customHeight="false" outlineLevel="0" collapsed="false">
      <c r="A17" s="4" t="s">
        <v>30</v>
      </c>
      <c r="B17" s="7" t="n">
        <v>0.18</v>
      </c>
      <c r="C17" s="6" t="s">
        <v>31</v>
      </c>
    </row>
    <row r="18" customFormat="false" ht="15" hidden="false" customHeight="false" outlineLevel="0" collapsed="false">
      <c r="A18" s="4" t="s">
        <v>32</v>
      </c>
      <c r="B18" s="12"/>
      <c r="C18" s="6" t="s">
        <v>33</v>
      </c>
    </row>
    <row r="19" customFormat="false" ht="15" hidden="false" customHeight="false" outlineLevel="0" collapsed="false">
      <c r="A19" s="4" t="s">
        <v>34</v>
      </c>
      <c r="B19" s="12"/>
      <c r="C19" s="6" t="s">
        <v>33</v>
      </c>
    </row>
    <row r="21" customFormat="false" ht="15" hidden="false" customHeight="false" outlineLevel="0" collapsed="false">
      <c r="A21" s="13" t="s">
        <v>35</v>
      </c>
    </row>
    <row r="22" customFormat="false" ht="15" hidden="false" customHeight="false" outlineLevel="0" collapsed="false">
      <c r="A22" s="14" t="s">
        <v>36</v>
      </c>
      <c r="B22" s="15" t="n">
        <f aca="false">B10*B6</f>
        <v>15.6521739130435</v>
      </c>
    </row>
    <row r="23" customFormat="false" ht="15" hidden="false" customHeight="false" outlineLevel="0" collapsed="false">
      <c r="A23" s="14" t="s">
        <v>37</v>
      </c>
      <c r="B23" s="15" t="n">
        <f aca="false">B10*(1-B6)</f>
        <v>88.6956521739131</v>
      </c>
    </row>
    <row r="24" customFormat="false" ht="15" hidden="false" customHeight="false" outlineLevel="0" collapsed="false">
      <c r="A24" s="14" t="s">
        <v>38</v>
      </c>
      <c r="B24" s="15" t="n">
        <f aca="false">B23*1+B22*2</f>
        <v>120</v>
      </c>
    </row>
    <row r="25" customFormat="false" ht="15" hidden="false" customHeight="false" outlineLevel="0" collapsed="false">
      <c r="A25" s="14" t="s">
        <v>39</v>
      </c>
      <c r="B25" s="15" t="n">
        <f aca="false">B10</f>
        <v>104.347826086957</v>
      </c>
    </row>
    <row r="27" customFormat="false" ht="15" hidden="false" customHeight="false" outlineLevel="0" collapsed="false">
      <c r="A27" s="13" t="s">
        <v>40</v>
      </c>
    </row>
    <row r="28" customFormat="false" ht="15" hidden="false" customHeight="false" outlineLevel="0" collapsed="false">
      <c r="A28" s="14" t="s">
        <v>41</v>
      </c>
      <c r="B28" s="16" t="n">
        <v>1960.1</v>
      </c>
      <c r="C28" s="17" t="s">
        <v>42</v>
      </c>
    </row>
    <row r="29" customFormat="false" ht="15" hidden="false" customHeight="false" outlineLevel="0" collapsed="false">
      <c r="A29" s="14" t="s">
        <v>43</v>
      </c>
      <c r="B29" s="18" t="n">
        <v>3500</v>
      </c>
      <c r="C29" s="17" t="s">
        <v>44</v>
      </c>
    </row>
    <row r="30" customFormat="false" ht="15" hidden="false" customHeight="false" outlineLevel="0" collapsed="false">
      <c r="A30" s="14" t="s">
        <v>45</v>
      </c>
      <c r="B30" s="18" t="n">
        <v>3500</v>
      </c>
      <c r="C30" s="17" t="s">
        <v>46</v>
      </c>
    </row>
  </sheetData>
  <mergeCells count="2">
    <mergeCell ref="A1:C1"/>
    <mergeCell ref="A2:C2"/>
  </mergeCells>
  <dataValidations count="1">
    <dataValidation allowBlank="true" errorStyle="stop" operator="between" showDropDown="false" showErrorMessage="false" showInputMessage="false" sqref="B16" type="list">
      <formula1>"Yes,No,Unknown"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0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22"/>
    <col collapsed="false" customWidth="true" hidden="false" outlineLevel="0" max="10" min="10" style="0" width="14"/>
    <col collapsed="false" customWidth="true" hidden="false" outlineLevel="0" max="12" min="11" style="0" width="13"/>
    <col collapsed="false" customWidth="true" hidden="false" outlineLevel="0" max="13" min="13" style="0" width="15"/>
    <col collapsed="false" customWidth="true" hidden="false" outlineLevel="0" max="14" min="14" style="0" width="42"/>
  </cols>
  <sheetData>
    <row r="1" customFormat="false" ht="21.75" hidden="false" customHeight="true" outlineLevel="0" collapsed="false">
      <c r="A1" s="1" t="s">
        <v>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30" hidden="false" customHeight="true" outlineLevel="0" collapsed="false">
      <c r="A2" s="2" t="s">
        <v>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0" hidden="false" customHeight="true" outlineLevel="0" collapsed="false">
      <c r="A4" s="3" t="s">
        <v>49</v>
      </c>
      <c r="B4" s="3" t="s">
        <v>50</v>
      </c>
      <c r="C4" s="3" t="s">
        <v>51</v>
      </c>
      <c r="D4" s="3" t="s">
        <v>52</v>
      </c>
      <c r="E4" s="3" t="s">
        <v>53</v>
      </c>
      <c r="F4" s="3" t="s">
        <v>54</v>
      </c>
      <c r="G4" s="3" t="s">
        <v>55</v>
      </c>
      <c r="H4" s="3" t="s">
        <v>56</v>
      </c>
      <c r="I4" s="3" t="s">
        <v>57</v>
      </c>
      <c r="J4" s="3" t="s">
        <v>58</v>
      </c>
      <c r="K4" s="3" t="s">
        <v>59</v>
      </c>
      <c r="L4" s="3" t="s">
        <v>60</v>
      </c>
      <c r="M4" s="3" t="s">
        <v>61</v>
      </c>
      <c r="N4" s="3" t="s">
        <v>62</v>
      </c>
    </row>
    <row r="5" customFormat="false" ht="35.05" hidden="false" customHeight="false" outlineLevel="0" collapsed="false">
      <c r="A5" s="4" t="s">
        <v>63</v>
      </c>
      <c r="B5" s="19" t="n">
        <v>500</v>
      </c>
      <c r="C5" s="19" t="n">
        <v>500</v>
      </c>
      <c r="D5" s="19" t="n">
        <v>0</v>
      </c>
      <c r="E5" s="20" t="n">
        <f aca="false">Assumptions!B24</f>
        <v>120</v>
      </c>
      <c r="F5" s="20" t="n">
        <f aca="false">ROUNDUP(E5*(1+Assumptions!B12),0)</f>
        <v>126</v>
      </c>
      <c r="G5" s="19" t="str">
        <f aca="false">IF(B5&gt;=F5,"Yes","NO - quote insufficient")</f>
        <v>Yes</v>
      </c>
      <c r="H5" s="20" t="n">
        <f aca="false">MAX(0,F5-C5)</f>
        <v>0</v>
      </c>
      <c r="I5" s="19" t="s">
        <v>64</v>
      </c>
      <c r="J5" s="20" t="n">
        <f aca="false">IF(H5=0,0,IF(ISNUMBER(I5),CEILING(H5,I5),H5))</f>
        <v>0</v>
      </c>
      <c r="K5" s="20" t="n">
        <f aca="false">(C5+J5)-F5</f>
        <v>374</v>
      </c>
      <c r="L5" s="21" t="n">
        <f aca="false">Assumptions!B14*Assumptions!B13</f>
        <v>0.99988</v>
      </c>
      <c r="M5" s="22" t="n">
        <f aca="false">J5*L5</f>
        <v>0</v>
      </c>
      <c r="N5" s="4" t="s">
        <v>65</v>
      </c>
    </row>
    <row r="6" customFormat="false" ht="35.05" hidden="false" customHeight="false" outlineLevel="0" collapsed="false">
      <c r="A6" s="4" t="s">
        <v>66</v>
      </c>
      <c r="B6" s="19" t="n">
        <v>500</v>
      </c>
      <c r="C6" s="19" t="n">
        <v>500</v>
      </c>
      <c r="D6" s="19" t="n">
        <v>0</v>
      </c>
      <c r="E6" s="20" t="n">
        <f aca="false">Assumptions!B25</f>
        <v>104.347826086957</v>
      </c>
      <c r="F6" s="20" t="n">
        <f aca="false">ROUNDUP(E6*(1+Assumptions!B12),0)</f>
        <v>110</v>
      </c>
      <c r="G6" s="19" t="str">
        <f aca="false">IF(B6&gt;=F6,"Yes","NO - quote insufficient")</f>
        <v>Yes</v>
      </c>
      <c r="H6" s="20" t="n">
        <f aca="false">MAX(0,F6-C6)</f>
        <v>0</v>
      </c>
      <c r="I6" s="19" t="s">
        <v>64</v>
      </c>
      <c r="J6" s="20" t="n">
        <f aca="false">IF(H6=0,0,IF(ISNUMBER(I6),CEILING(H6,I6),H6))</f>
        <v>0</v>
      </c>
      <c r="K6" s="20" t="n">
        <f aca="false">(C6+J6)-F6</f>
        <v>390</v>
      </c>
      <c r="L6" s="21" t="n">
        <f aca="false">Assumptions!B15*Assumptions!B13</f>
        <v>0.7142</v>
      </c>
      <c r="M6" s="22" t="n">
        <f aca="false">J6*L6</f>
        <v>0</v>
      </c>
      <c r="N6" s="4" t="s">
        <v>65</v>
      </c>
    </row>
    <row r="7" customFormat="false" ht="23.85" hidden="false" customHeight="false" outlineLevel="0" collapsed="false">
      <c r="A7" s="4" t="s">
        <v>67</v>
      </c>
      <c r="B7" s="19" t="n">
        <v>1000</v>
      </c>
      <c r="C7" s="19" t="n">
        <v>0</v>
      </c>
      <c r="D7" s="19" t="n">
        <v>0</v>
      </c>
      <c r="E7" s="20" t="n">
        <f aca="false">Assumptions!B25</f>
        <v>104.347826086957</v>
      </c>
      <c r="F7" s="20" t="n">
        <f aca="false">ROUNDUP(E7*(1+Assumptions!B12),0)</f>
        <v>110</v>
      </c>
      <c r="G7" s="19" t="str">
        <f aca="false">IF(B7&gt;=F7,"Yes","NO - quote insufficient")</f>
        <v>Yes</v>
      </c>
      <c r="H7" s="20" t="n">
        <f aca="false">MAX(0,F7-C7)</f>
        <v>110</v>
      </c>
      <c r="I7" s="23" t="s">
        <v>68</v>
      </c>
      <c r="J7" s="20" t="n">
        <f aca="false">IF(H7=0,0,IF(ISNUMBER(I7),CEILING(H7,I7),H7))</f>
        <v>110</v>
      </c>
      <c r="K7" s="20" t="n">
        <f aca="false">(C7+J7)-F7</f>
        <v>0</v>
      </c>
      <c r="L7" s="21" t="n">
        <v>0.25</v>
      </c>
      <c r="M7" s="22" t="n">
        <f aca="false">J7*L7</f>
        <v>27.5</v>
      </c>
      <c r="N7" s="4" t="s">
        <v>69</v>
      </c>
    </row>
    <row r="8" customFormat="false" ht="23.85" hidden="false" customHeight="false" outlineLevel="0" collapsed="false">
      <c r="A8" s="4" t="s">
        <v>70</v>
      </c>
      <c r="B8" s="19" t="n">
        <v>100</v>
      </c>
      <c r="C8" s="19" t="n">
        <v>0</v>
      </c>
      <c r="D8" s="19" t="n">
        <v>0</v>
      </c>
      <c r="E8" s="20" t="n">
        <f aca="false">Assumptions!B25</f>
        <v>104.347826086957</v>
      </c>
      <c r="F8" s="20" t="n">
        <f aca="false">ROUNDUP(E8*(1+Assumptions!B12),0)</f>
        <v>110</v>
      </c>
      <c r="G8" s="19" t="str">
        <f aca="false">IF(B8&gt;=F8,"Yes","NO - quote insufficient")</f>
        <v>NO - quote insufficient</v>
      </c>
      <c r="H8" s="20" t="n">
        <f aca="false">MAX(0,F8-C8)</f>
        <v>110</v>
      </c>
      <c r="I8" s="23" t="s">
        <v>68</v>
      </c>
      <c r="J8" s="20" t="n">
        <f aca="false">IF(H8=0,0,IF(ISNUMBER(I8),CEILING(H8,I8),H8))</f>
        <v>110</v>
      </c>
      <c r="K8" s="20" t="n">
        <f aca="false">(C8+J8)-F8</f>
        <v>0</v>
      </c>
      <c r="L8" s="21" t="n">
        <v>0.8</v>
      </c>
      <c r="M8" s="22" t="n">
        <f aca="false">J8*L8</f>
        <v>88</v>
      </c>
      <c r="N8" s="4" t="s">
        <v>71</v>
      </c>
    </row>
    <row r="9" customFormat="false" ht="35.05" hidden="false" customHeight="false" outlineLevel="0" collapsed="false">
      <c r="A9" s="4" t="s">
        <v>72</v>
      </c>
      <c r="B9" s="19" t="n">
        <v>160</v>
      </c>
      <c r="C9" s="19" t="n">
        <v>0</v>
      </c>
      <c r="D9" s="19" t="n">
        <v>0</v>
      </c>
      <c r="E9" s="20" t="n">
        <f aca="false">Assumptions!B25</f>
        <v>104.347826086957</v>
      </c>
      <c r="F9" s="20" t="n">
        <f aca="false">ROUNDUP(E9*(1+Assumptions!B12),0)</f>
        <v>110</v>
      </c>
      <c r="G9" s="19" t="str">
        <f aca="false">IF(B9&gt;=F9,"Yes","NO - quote insufficient")</f>
        <v>Yes</v>
      </c>
      <c r="H9" s="20" t="n">
        <f aca="false">MAX(0,F9-C9)</f>
        <v>110</v>
      </c>
      <c r="I9" s="23" t="s">
        <v>68</v>
      </c>
      <c r="J9" s="20" t="n">
        <f aca="false">IF(H9=0,0,IF(ISNUMBER(I9),CEILING(H9,I9),H9))</f>
        <v>110</v>
      </c>
      <c r="K9" s="20" t="n">
        <f aca="false">(C9+J9)-F9</f>
        <v>0</v>
      </c>
      <c r="L9" s="21" t="n">
        <v>4.375</v>
      </c>
      <c r="M9" s="22" t="n">
        <f aca="false">J9*L9</f>
        <v>481.25</v>
      </c>
      <c r="N9" s="4" t="s">
        <v>73</v>
      </c>
    </row>
    <row r="10" customFormat="false" ht="35.05" hidden="false" customHeight="false" outlineLevel="0" collapsed="false">
      <c r="A10" s="4" t="s">
        <v>74</v>
      </c>
      <c r="B10" s="19"/>
      <c r="C10" s="19"/>
      <c r="D10" s="19"/>
      <c r="E10" s="20" t="n">
        <f aca="false">E9</f>
        <v>104.347826086957</v>
      </c>
      <c r="F10" s="20" t="n">
        <f aca="false">F9</f>
        <v>110</v>
      </c>
      <c r="G10" s="19"/>
      <c r="H10" s="20" t="n">
        <f aca="false">F10</f>
        <v>110</v>
      </c>
      <c r="I10" s="19" t="s">
        <v>75</v>
      </c>
      <c r="J10" s="20" t="n">
        <f aca="false">IF(H10=0,0,IF(ISNUMBER(I10),CEILING(H10,I10),H10))</f>
        <v>110</v>
      </c>
      <c r="K10" s="19" t="n">
        <f aca="false">(0+J10)-F10</f>
        <v>0</v>
      </c>
      <c r="L10" s="21" t="str">
        <f aca="false">IF(ISBLANK(Assumptions!B19),"UNKNOWN",Assumptions!B19)</f>
        <v>UNKNOWN</v>
      </c>
      <c r="M10" s="19" t="str">
        <f aca="false">IF(ISNUMBER(L10),J10*L10,"UNKNOWN")</f>
        <v>UNKNOWN</v>
      </c>
      <c r="N10" s="4" t="s">
        <v>76</v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10"/>
    <col collapsed="false" customWidth="true" hidden="false" outlineLevel="0" max="6" min="6" style="0" width="24"/>
    <col collapsed="false" customWidth="true" hidden="false" outlineLevel="0" max="8" min="7" style="0" width="4"/>
  </cols>
  <sheetData>
    <row r="1" customFormat="false" ht="21.75" hidden="false" customHeight="true" outlineLevel="0" collapsed="false">
      <c r="A1" s="1" t="s">
        <v>77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4" t="s">
        <v>78</v>
      </c>
      <c r="B2" s="24"/>
      <c r="C2" s="24"/>
      <c r="D2" s="24"/>
      <c r="E2" s="24"/>
      <c r="F2" s="24"/>
      <c r="G2" s="24"/>
      <c r="H2" s="24"/>
    </row>
    <row r="4" customFormat="false" ht="23.85" hidden="false" customHeight="true" outlineLevel="0" collapsed="false">
      <c r="A4" s="25" t="s">
        <v>79</v>
      </c>
      <c r="B4" s="25"/>
      <c r="C4" s="25"/>
      <c r="D4" s="25"/>
      <c r="E4" s="25"/>
      <c r="F4" s="26" t="n">
        <f aca="false">SUMPRODUCT('Component Requirements &amp; Costs'!F5:F9,'Component Requirements &amp; Costs'!L5:L9)</f>
        <v>801.29688</v>
      </c>
    </row>
    <row r="6" customFormat="false" ht="115.65" hidden="false" customHeight="false" outlineLevel="0" collapsed="false">
      <c r="A6" s="27" t="s">
        <v>80</v>
      </c>
    </row>
    <row r="7" customFormat="false" ht="15" hidden="false" customHeight="true" outlineLevel="0" collapsed="false">
      <c r="A7" s="28" t="s">
        <v>81</v>
      </c>
      <c r="B7" s="28"/>
      <c r="C7" s="28"/>
      <c r="D7" s="28"/>
      <c r="E7" s="28"/>
      <c r="F7" s="26" t="n">
        <f aca="false">'Component Requirements &amp; Costs'!C5*Assumptions!B14*Assumptions!B13+'Component Requirements &amp; Costs'!C6*Assumptions!B15*Assumptions!B13</f>
        <v>857.04</v>
      </c>
    </row>
    <row r="8" customFormat="false" ht="28.35" hidden="false" customHeight="true" outlineLevel="0" collapsed="false">
      <c r="A8" s="28" t="s">
        <v>82</v>
      </c>
      <c r="B8" s="28"/>
      <c r="C8" s="28"/>
      <c r="D8" s="28"/>
      <c r="E8" s="28"/>
      <c r="F8" s="29" t="n">
        <f aca="false">Assumptions!B29</f>
        <v>3500</v>
      </c>
    </row>
    <row r="9" customFormat="false" ht="15" hidden="false" customHeight="true" outlineLevel="0" collapsed="false">
      <c r="A9" s="28" t="s">
        <v>83</v>
      </c>
      <c r="B9" s="28"/>
      <c r="C9" s="28"/>
      <c r="D9" s="28"/>
      <c r="E9" s="28"/>
      <c r="F9" s="29" t="n">
        <f aca="false">Assumptions!B30</f>
        <v>3500</v>
      </c>
    </row>
    <row r="10" customFormat="false" ht="23.85" hidden="false" customHeight="true" outlineLevel="0" collapsed="false">
      <c r="A10" s="30" t="s">
        <v>84</v>
      </c>
      <c r="B10" s="30"/>
      <c r="C10" s="30"/>
      <c r="D10" s="30"/>
      <c r="E10" s="30"/>
      <c r="F10" s="31" t="n">
        <f aca="false">(('Component Requirements &amp; Costs'!C5*Assumptions!B14+'Component Requirements &amp; Costs'!C6*Assumptions!B15)/Assumptions!B28)*Assumptions!B29</f>
        <v>428.549563797765</v>
      </c>
    </row>
    <row r="12" customFormat="false" ht="115.65" hidden="false" customHeight="false" outlineLevel="0" collapsed="false">
      <c r="A12" s="27" t="s">
        <v>85</v>
      </c>
    </row>
    <row r="13" customFormat="false" ht="15" hidden="false" customHeight="true" outlineLevel="0" collapsed="false">
      <c r="A13" s="28" t="s">
        <v>86</v>
      </c>
      <c r="B13" s="28"/>
      <c r="C13" s="28"/>
      <c r="D13" s="28"/>
      <c r="E13" s="28"/>
      <c r="F13" s="26" t="n">
        <f aca="false">SUM('Component Requirements &amp; Costs'!M5:M9)</f>
        <v>596.75</v>
      </c>
    </row>
    <row r="14" customFormat="false" ht="15" hidden="false" customHeight="true" outlineLevel="0" collapsed="false">
      <c r="A14" s="28" t="s">
        <v>87</v>
      </c>
      <c r="B14" s="28"/>
      <c r="C14" s="28"/>
      <c r="D14" s="28"/>
      <c r="E14" s="28"/>
      <c r="F14" s="26" t="str">
        <f aca="false">'Component Requirements &amp; Costs'!M10</f>
        <v>UNKNOWN</v>
      </c>
    </row>
    <row r="15" customFormat="false" ht="28.35" hidden="false" customHeight="true" outlineLevel="0" collapsed="false">
      <c r="A15" s="28" t="s">
        <v>88</v>
      </c>
      <c r="B15" s="28"/>
      <c r="C15" s="28"/>
      <c r="D15" s="28"/>
      <c r="E15" s="28"/>
      <c r="F15" s="26" t="str">
        <f aca="false">IF(Assumptions!B16="Yes",0,IF(Assumptions!B16="No",F13*Assumptions!B17,"UNKNOWN"))</f>
        <v>UNKNOWN</v>
      </c>
    </row>
    <row r="16" customFormat="false" ht="15" hidden="false" customHeight="true" outlineLevel="0" collapsed="false">
      <c r="A16" s="28" t="s">
        <v>89</v>
      </c>
      <c r="B16" s="28"/>
      <c r="C16" s="28"/>
      <c r="D16" s="28"/>
      <c r="E16" s="28"/>
      <c r="F16" s="26" t="str">
        <f aca="false">IF(ISBLANK(Assumptions!B18),"UNKNOWN",Assumptions!B18)</f>
        <v>UNKNOWN</v>
      </c>
    </row>
    <row r="17" customFormat="false" ht="15" hidden="false" customHeight="true" outlineLevel="0" collapsed="false">
      <c r="A17" s="25" t="s">
        <v>90</v>
      </c>
      <c r="B17" s="25"/>
      <c r="C17" s="25"/>
      <c r="D17" s="25"/>
      <c r="E17" s="25"/>
      <c r="F17" s="32" t="str">
        <f aca="false">IF(AND(ISNUMBER(F14),ISNUMBER(F15),ISNUMBER(F16)),F13+F14+F15+F16,"INCOMPLETE - COST UNKNOWN")</f>
        <v>INCOMPLETE - COST UNKNOWN</v>
      </c>
    </row>
    <row r="19" customFormat="false" ht="26.85" hidden="false" customHeight="false" outlineLevel="0" collapsed="false">
      <c r="A19" s="27" t="s">
        <v>91</v>
      </c>
    </row>
    <row r="20" customFormat="false" ht="28.35" hidden="false" customHeight="true" outlineLevel="0" collapsed="false">
      <c r="A20" s="28" t="s">
        <v>92</v>
      </c>
      <c r="B20" s="28"/>
      <c r="C20" s="28"/>
      <c r="D20" s="28"/>
      <c r="E20" s="28"/>
      <c r="F20" s="33" t="str">
        <f aca="false">IF(ISNUMBER('Component Requirements &amp; Costs'!L10),'Component Requirements &amp; Costs'!L5+'Component Requirements &amp; Costs'!L6+'Component Requirements &amp; Costs'!L7+'Component Requirements &amp; Costs'!L8+'Component Requirements &amp; Costs'!L9+'Component Requirements &amp; Costs'!L10,"INCOMPLETE - COST UNKNOWN (printing not yet quoted)")</f>
        <v>INCOMPLETE - COST UNKNOWN (printing not yet quoted)</v>
      </c>
    </row>
    <row r="21" customFormat="false" ht="28.35" hidden="false" customHeight="true" outlineLevel="0" collapsed="false">
      <c r="A21" s="28" t="s">
        <v>93</v>
      </c>
      <c r="B21" s="28"/>
      <c r="C21" s="28"/>
      <c r="D21" s="28"/>
      <c r="E21" s="28"/>
      <c r="F21" s="33" t="str">
        <f aca="false">IF(ISNUMBER('Component Requirements &amp; Costs'!L10),'Component Requirements &amp; Costs'!L5*2+'Component Requirements &amp; Costs'!L6+'Component Requirements &amp; Costs'!L7+'Component Requirements &amp; Costs'!L8+'Component Requirements &amp; Costs'!L9+'Component Requirements &amp; Costs'!L10,"INCOMPLETE - COST UNKNOWN (printing not yet quoted)")</f>
        <v>INCOMPLETE - COST UNKNOWN (printing not yet quoted)</v>
      </c>
    </row>
    <row r="23" customFormat="false" ht="39.55" hidden="false" customHeight="false" outlineLevel="0" collapsed="false">
      <c r="A23" s="27" t="s">
        <v>94</v>
      </c>
    </row>
    <row r="24" customFormat="false" ht="15" hidden="false" customHeight="true" outlineLevel="0" collapsed="false">
      <c r="A24" s="28" t="s">
        <v>95</v>
      </c>
      <c r="B24" s="28"/>
      <c r="C24" s="28"/>
      <c r="D24" s="28"/>
      <c r="E24" s="28"/>
      <c r="F24" s="34" t="str">
        <f aca="false">IF('Component Requirements &amp; Costs'!B8&gt;='Component Requirements &amp; Costs'!F8,"Sufficient - quote covers requirement","SHORTFALL - quoted 100 is NOT enough, and 0 are currently ordered")</f>
        <v>SHORTFALL - quoted 100 is NOT enough, and 0 are currently ordered</v>
      </c>
    </row>
  </sheetData>
  <mergeCells count="15">
    <mergeCell ref="A1:H1"/>
    <mergeCell ref="A2:H2"/>
    <mergeCell ref="A4:E4"/>
    <mergeCell ref="A7:E7"/>
    <mergeCell ref="A8:E8"/>
    <mergeCell ref="A9:E9"/>
    <mergeCell ref="A10:E10"/>
    <mergeCell ref="A13:E13"/>
    <mergeCell ref="A14:E14"/>
    <mergeCell ref="A15:E15"/>
    <mergeCell ref="A16:E16"/>
    <mergeCell ref="A17:E17"/>
    <mergeCell ref="A20:E20"/>
    <mergeCell ref="A21:E21"/>
    <mergeCell ref="A24:E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2026-09-02T10:02:23Z</dcterms:created>
  <dc:creator>openpyxl</dc:creator>
  <dc:description/>
  <dc:language>en-US</dc:language>
  <cp:lastModifiedBy/>
  <dcterms:modified xsi:type="dcterms:W3CDTF">2026-09-02T10:02:23Z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